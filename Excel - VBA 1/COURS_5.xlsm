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ssak\Documents\M1\Excel - VBA\"/>
    </mc:Choice>
  </mc:AlternateContent>
  <xr:revisionPtr revIDLastSave="0" documentId="13_ncr:1_{10955AAF-7E28-40B6-AEFA-E891A53212A8}" xr6:coauthVersionLast="47" xr6:coauthVersionMax="47" xr10:uidLastSave="{00000000-0000-0000-0000-000000000000}"/>
  <bookViews>
    <workbookView xWindow="-108" yWindow="-108" windowWidth="23256" windowHeight="12456" activeTab="6" xr2:uid="{DCD7E60C-74A1-442D-BDCD-0B757FA3D53D}"/>
  </bookViews>
  <sheets>
    <sheet name="Feuil1" sheetId="1" r:id="rId1"/>
    <sheet name="Feuil2" sheetId="2" r:id="rId2"/>
    <sheet name="FORMULE" sheetId="4" r:id="rId3"/>
    <sheet name="NOTES AGENCE" sheetId="3" r:id="rId4"/>
    <sheet name="EXEMPLE" sheetId="5" r:id="rId5"/>
    <sheet name="EXO_2" sheetId="6" r:id="rId6"/>
    <sheet name="EXO_3" sheetId="7" r:id="rId7"/>
    <sheet name="UNTIL" sheetId="8" r:id="rId8"/>
  </sheets>
  <functionGroups builtInGroupCount="19"/>
  <definedNames>
    <definedName name="_xleta.AND" hidden="1" xlm="1">#NAME?</definedName>
    <definedName name="_xleta.IF" hidden="1" xlm="1">#NAME?</definedName>
    <definedName name="_xleta.RAND" hidden="1" xlm="1">#NAME?</definedName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2" i="5"/>
  <c r="B10" i="5"/>
  <c r="B3" i="5"/>
  <c r="B4" i="5"/>
  <c r="B5" i="5"/>
  <c r="B6" i="5"/>
  <c r="B7" i="5"/>
  <c r="B8" i="5"/>
  <c r="B9" i="5"/>
  <c r="B2" i="5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K4" i="3"/>
  <c r="K5" i="3" s="1"/>
  <c r="K6" i="3" s="1"/>
  <c r="K7" i="3" s="1"/>
  <c r="K8" i="3" s="1"/>
  <c r="K9" i="3" s="1"/>
  <c r="K10" i="3" s="1"/>
  <c r="K11" i="3" s="1"/>
  <c r="K12" i="3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2" i="2"/>
  <c r="E2" i="2"/>
  <c r="D3" i="2" a="1"/>
  <c r="D3" i="2"/>
  <c r="D4" i="2" a="1"/>
  <c r="D4" i="2"/>
  <c r="D5" i="2" a="1"/>
  <c r="D5" i="2" s="1"/>
  <c r="D6" i="2" a="1"/>
  <c r="D6" i="2"/>
  <c r="D7" i="2" a="1"/>
  <c r="D7" i="2"/>
  <c r="D8" i="2" a="1"/>
  <c r="D8" i="2" s="1"/>
  <c r="D9" i="2" a="1"/>
  <c r="D9" i="2"/>
  <c r="D10" i="2" a="1"/>
  <c r="D10" i="2" s="1"/>
  <c r="D11" i="2" a="1"/>
  <c r="D11" i="2"/>
  <c r="D12" i="2" a="1"/>
  <c r="D12" i="2"/>
  <c r="D13" i="2" a="1"/>
  <c r="D13" i="2"/>
  <c r="D14" i="2" a="1"/>
  <c r="D14" i="2"/>
  <c r="D15" i="2" a="1"/>
  <c r="D15" i="2"/>
  <c r="D16" i="2" a="1"/>
  <c r="D16" i="2"/>
  <c r="D17" i="2" a="1"/>
  <c r="D17" i="2"/>
  <c r="D18" i="2" a="1"/>
  <c r="D18" i="2" s="1"/>
  <c r="D19" i="2" a="1"/>
  <c r="D19" i="2"/>
  <c r="D20" i="2" a="1"/>
  <c r="D20" i="2"/>
  <c r="D21" i="2" a="1"/>
  <c r="D21" i="2" s="1"/>
  <c r="D22" i="2" a="1"/>
  <c r="D22" i="2" s="1"/>
  <c r="D2" i="2" a="1"/>
  <c r="D2" i="2" s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E21" i="2"/>
  <c r="E2" i="1"/>
  <c r="E3" i="3" a="1"/>
  <c r="E26" i="3" a="1"/>
  <c r="E21" i="3" a="1"/>
  <c r="E23" i="3" a="1"/>
  <c r="E11" i="3" a="1"/>
  <c r="F6" i="2" a="1"/>
  <c r="F9" i="2" a="1"/>
  <c r="F10" i="2" a="1"/>
  <c r="F3" i="2" a="1"/>
  <c r="E8" i="3" a="1"/>
  <c r="E10" i="3" a="1"/>
  <c r="F11" i="2" a="1"/>
  <c r="E20" i="3" a="1"/>
  <c r="E10" i="1" a="1"/>
  <c r="E12" i="1" a="1"/>
  <c r="E9" i="3" a="1"/>
  <c r="E6" i="3" a="1"/>
  <c r="E14" i="3" a="1"/>
  <c r="E7" i="3" a="1"/>
  <c r="F20" i="2" a="1"/>
  <c r="E5" i="3" a="1"/>
  <c r="E17" i="3" a="1"/>
  <c r="F18" i="2" a="1"/>
  <c r="E13" i="1" a="1"/>
  <c r="F2" i="2" a="1"/>
  <c r="F17" i="2" a="1"/>
  <c r="F8" i="2" a="1"/>
  <c r="F16" i="2" a="1"/>
  <c r="E2" i="3" a="1"/>
  <c r="F21" i="2" a="1"/>
  <c r="F19" i="2" a="1"/>
  <c r="F12" i="2" a="1"/>
  <c r="F14" i="2" a="1"/>
  <c r="E16" i="3" a="1"/>
  <c r="F4" i="2" a="1"/>
  <c r="E9" i="1" a="1"/>
  <c r="E25" i="3" a="1"/>
  <c r="E15" i="3" a="1"/>
  <c r="F22" i="2" a="1"/>
  <c r="E11" i="1" a="1"/>
  <c r="E22" i="3" a="1"/>
  <c r="E13" i="3" a="1"/>
  <c r="F7" i="2" a="1"/>
  <c r="E19" i="3" a="1"/>
  <c r="E12" i="3" a="1"/>
  <c r="E24" i="3" a="1"/>
  <c r="F5" i="2" a="1"/>
  <c r="E4" i="3" a="1"/>
  <c r="E18" i="3" a="1"/>
  <c r="F15" i="2" a="1"/>
  <c r="F13" i="2" a="1"/>
  <c r="E18" i="3" l="1"/>
  <c r="E22" i="3"/>
  <c r="E26" i="3"/>
  <c r="E10" i="3"/>
  <c r="E25" i="3"/>
  <c r="E17" i="3"/>
  <c r="E9" i="3"/>
  <c r="E24" i="3"/>
  <c r="E16" i="3"/>
  <c r="E8" i="3"/>
  <c r="E23" i="3"/>
  <c r="E15" i="3"/>
  <c r="E7" i="3"/>
  <c r="E14" i="3"/>
  <c r="E6" i="3"/>
  <c r="E21" i="3"/>
  <c r="E13" i="3"/>
  <c r="E5" i="3"/>
  <c r="E20" i="3"/>
  <c r="E12" i="3"/>
  <c r="E4" i="3"/>
  <c r="E19" i="3"/>
  <c r="E11" i="3"/>
  <c r="E3" i="3"/>
  <c r="E2" i="3"/>
  <c r="F19" i="2"/>
  <c r="F11" i="2"/>
  <c r="F18" i="2"/>
  <c r="F10" i="2"/>
  <c r="F17" i="2"/>
  <c r="F9" i="2"/>
  <c r="F16" i="2"/>
  <c r="F8" i="2"/>
  <c r="F15" i="2"/>
  <c r="F7" i="2"/>
  <c r="F22" i="2"/>
  <c r="F14" i="2"/>
  <c r="F6" i="2"/>
  <c r="F21" i="2"/>
  <c r="F13" i="2"/>
  <c r="F5" i="2"/>
  <c r="F20" i="2"/>
  <c r="F12" i="2"/>
  <c r="F4" i="2"/>
  <c r="F3" i="2"/>
  <c r="F2" i="2"/>
  <c r="E13" i="1"/>
  <c r="E12" i="1"/>
  <c r="E11" i="1"/>
  <c r="E10" i="1"/>
  <c r="E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<sst xmlns="http://schemas.openxmlformats.org/spreadsheetml/2006/main" count="280" uniqueCount="119">
  <si>
    <t>artz</t>
  </si>
  <si>
    <t>DEVISE</t>
  </si>
  <si>
    <t>FORMAT NOMBRE</t>
  </si>
  <si>
    <t>eur</t>
  </si>
  <si>
    <t>yen</t>
  </si>
  <si>
    <t>COURS</t>
  </si>
  <si>
    <t>Indice</t>
  </si>
  <si>
    <t>CODE_ELEVE</t>
  </si>
  <si>
    <t>ELV001</t>
  </si>
  <si>
    <t>ELV002</t>
  </si>
  <si>
    <t>ELV003</t>
  </si>
  <si>
    <t>ELV004</t>
  </si>
  <si>
    <t>ELV005</t>
  </si>
  <si>
    <t>ELV006</t>
  </si>
  <si>
    <t>ELV007</t>
  </si>
  <si>
    <t>ELV008</t>
  </si>
  <si>
    <t>ELV009</t>
  </si>
  <si>
    <t>ELV010</t>
  </si>
  <si>
    <t>ELV011</t>
  </si>
  <si>
    <t>ELV012</t>
  </si>
  <si>
    <t>ELV013</t>
  </si>
  <si>
    <t>ELV014</t>
  </si>
  <si>
    <t>ELV015</t>
  </si>
  <si>
    <t>ELV016</t>
  </si>
  <si>
    <t>ELV017</t>
  </si>
  <si>
    <t>ELV018</t>
  </si>
  <si>
    <t>ELV019</t>
  </si>
  <si>
    <t>ELV020</t>
  </si>
  <si>
    <t>ELV021</t>
  </si>
  <si>
    <t>ELV022</t>
  </si>
  <si>
    <t>ELV023</t>
  </si>
  <si>
    <t>NOTE</t>
  </si>
  <si>
    <t>COMMENTAIRE (SI)</t>
  </si>
  <si>
    <t>Function Cmnote</t>
  </si>
  <si>
    <t>Faible</t>
  </si>
  <si>
    <t>Moyen</t>
  </si>
  <si>
    <t>Excellent</t>
  </si>
  <si>
    <t>Bien</t>
  </si>
  <si>
    <t xml:space="preserve">Note </t>
  </si>
  <si>
    <t>Signification</t>
  </si>
  <si>
    <t>AAA</t>
  </si>
  <si>
    <t>Prime</t>
  </si>
  <si>
    <t>AA+</t>
  </si>
  <si>
    <t>High grade</t>
  </si>
  <si>
    <t>AA</t>
  </si>
  <si>
    <t>AA-</t>
  </si>
  <si>
    <t>A+</t>
  </si>
  <si>
    <t>Upper medium grade</t>
  </si>
  <si>
    <t>A</t>
  </si>
  <si>
    <t xml:space="preserve">Upper medium grade </t>
  </si>
  <si>
    <t>A-</t>
  </si>
  <si>
    <t>BBB+</t>
  </si>
  <si>
    <t>BBB</t>
  </si>
  <si>
    <t>BBB-</t>
  </si>
  <si>
    <t>Lower medium grade</t>
  </si>
  <si>
    <t>CODE VALEUR</t>
  </si>
  <si>
    <t>FR00001</t>
  </si>
  <si>
    <t>FR00002</t>
  </si>
  <si>
    <t>FR00003</t>
  </si>
  <si>
    <t>FR00004</t>
  </si>
  <si>
    <t>FR00005</t>
  </si>
  <si>
    <t>FR00006</t>
  </si>
  <si>
    <t>FR00007</t>
  </si>
  <si>
    <t>FR00008</t>
  </si>
  <si>
    <t>FR00009</t>
  </si>
  <si>
    <t>FR00010</t>
  </si>
  <si>
    <t>FR00011</t>
  </si>
  <si>
    <t>FR00012</t>
  </si>
  <si>
    <t>FR00013</t>
  </si>
  <si>
    <t>FR00014</t>
  </si>
  <si>
    <t>FR00015</t>
  </si>
  <si>
    <t>FR00016</t>
  </si>
  <si>
    <t>FR00017</t>
  </si>
  <si>
    <t>FR00018</t>
  </si>
  <si>
    <t>FR00019</t>
  </si>
  <si>
    <t>FR00020</t>
  </si>
  <si>
    <t>FR00021</t>
  </si>
  <si>
    <t>FR00022</t>
  </si>
  <si>
    <t>FR00023</t>
  </si>
  <si>
    <t>FR00024</t>
  </si>
  <si>
    <t>FR00025</t>
  </si>
  <si>
    <t>RECHERCHEV(ALEA.ENTRE.BORNES(1;10);$I$4:$J$13;2;FAUX)</t>
  </si>
  <si>
    <t>"AAA";"AA+";"AA";"AA-";"A+";"A";"A-";"BBB+";"BBB";"BBB-";</t>
  </si>
  <si>
    <t>AAA;"AA+";"AA";"AA-";"A+";"A";"A-";"BBB+";"BBB";"BBB-";</t>
  </si>
  <si>
    <t>L3&amp;""""&amp;J4&amp;""""&amp;";"</t>
  </si>
  <si>
    <t>CHOISIR(ALEA.ENTRE.BORNES(1;10);"AAA";"AA+";"AA";"AA-";"A+";"A";"A-";"BBB+";"BBB";"BBB-";)</t>
  </si>
  <si>
    <t>SIGNIFICATION NOTE RECHERCHEV</t>
  </si>
  <si>
    <t>SIGNIFICATION SUB SELECT CASE</t>
  </si>
  <si>
    <t>RECHERCHEV(B2;$I$4:$J$13;2;FAUX)</t>
  </si>
  <si>
    <t>SIERREUR(RECHERCHEV(B2;I:J;2;FAUX);"Note indisponible")</t>
  </si>
  <si>
    <t>SIGNIFICATION FUNCTION</t>
  </si>
  <si>
    <t>E</t>
  </si>
  <si>
    <t>CARACTERE</t>
  </si>
  <si>
    <t>CODE</t>
  </si>
  <si>
    <t>B</t>
  </si>
  <si>
    <t>a</t>
  </si>
  <si>
    <t>b</t>
  </si>
  <si>
    <t>c</t>
  </si>
  <si>
    <t>/</t>
  </si>
  <si>
    <t>-</t>
  </si>
  <si>
    <t xml:space="preserve"> </t>
  </si>
  <si>
    <t xml:space="preserve">
</t>
  </si>
  <si>
    <t>CAR</t>
  </si>
  <si>
    <t>Z</t>
  </si>
  <si>
    <t>R</t>
  </si>
  <si>
    <t>T</t>
  </si>
  <si>
    <t>CODE_VALEUR</t>
  </si>
  <si>
    <t>DATE_MATURITE</t>
  </si>
  <si>
    <t>SITUATION(SORTIE /RESTE)</t>
  </si>
  <si>
    <t>FR00027</t>
  </si>
  <si>
    <t>FR00028</t>
  </si>
  <si>
    <t>FR00029</t>
  </si>
  <si>
    <t>FR00030</t>
  </si>
  <si>
    <t>FR00026</t>
  </si>
  <si>
    <t>VB</t>
  </si>
  <si>
    <t xml:space="preserve">SHORT / LONG </t>
  </si>
  <si>
    <t>SHORT</t>
  </si>
  <si>
    <t>null</t>
  </si>
  <si>
    <t>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</si>
</sst>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¥\ ###,###,##0.00"/>
    <numFmt numFmtId="165" formatCode="###,###,##0.00"/>
    <numFmt numFmtId="166" formatCode="###,###,##0.00\ \€"/>
  </numFmts>
  <fonts count="9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00FF00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0" applyNumberFormat="1"/>
    <xf numFmtId="165" fontId="0" fillId="0" borderId="0" xfId="0" applyNumberFormat="1"/>
    <xf numFmtId="0" fontId="3" fillId="0" borderId="0" xfId="0" applyFon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166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A9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746760</xdr:colOff>
          <xdr:row>2</xdr:row>
          <xdr:rowOff>106680</xdr:rowOff>
        </xdr:from>
        <xdr:to>
          <xdr:col>11</xdr:col>
          <xdr:colOff>464820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10</xdr:row>
          <xdr:rowOff>106680</xdr:rowOff>
        </xdr:from>
        <xdr:to>
          <xdr:col>11</xdr:col>
          <xdr:colOff>152400</xdr:colOff>
          <xdr:row>15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678180</xdr:colOff>
          <xdr:row>10</xdr:row>
          <xdr:rowOff>137160</xdr:rowOff>
        </xdr:from>
        <xdr:to>
          <xdr:col>13</xdr:col>
          <xdr:colOff>731520</xdr:colOff>
          <xdr:row>14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2</xdr:row>
          <xdr:rowOff>106680</xdr:rowOff>
        </xdr:from>
        <xdr:to>
          <xdr:col>9</xdr:col>
          <xdr:colOff>693420</xdr:colOff>
          <xdr:row>6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8</xdr:row>
          <xdr:rowOff>137160</xdr:rowOff>
        </xdr:from>
        <xdr:to>
          <xdr:col>9</xdr:col>
          <xdr:colOff>327660</xdr:colOff>
          <xdr:row>11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670560</xdr:colOff>
          <xdr:row>4</xdr:row>
          <xdr:rowOff>121920</xdr:rowOff>
        </xdr:from>
        <xdr:to>
          <xdr:col>7</xdr:col>
          <xdr:colOff>335280</xdr:colOff>
          <xdr:row>6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SIGN_NOTE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23C0-A492-4824-BC5B-EC1C594D78F9}">
  <sheetPr codeName="Feuil1">
    <tabColor rgb="FFFFFF00"/>
  </sheetPr>
  <dimension ref="A1:E13"/>
  <sheetViews>
    <sheetView workbookViewId="0">
      <selection activeCell="D10" sqref="D10"/>
    </sheetView>
  </sheetViews>
  <sheetFormatPr baseColWidth="10" defaultRowHeight="14.4" x14ac:dyDescent="0.3"/>
  <cols>
    <col min="5" max="5" width="15.5546875" bestFit="1" customWidth="1"/>
  </cols>
  <sheetData>
    <row r="1" spans="1:5" x14ac:dyDescent="0.3">
      <c r="A1">
        <v>9</v>
      </c>
      <c r="D1" s="2" t="s">
        <v>1</v>
      </c>
      <c r="E1" s="2" t="s">
        <v>2</v>
      </c>
    </row>
    <row r="2" spans="1:5" x14ac:dyDescent="0.3">
      <c r="B2" s="1" t="s">
        <v>0</v>
      </c>
      <c r="D2" t="s">
        <v>3</v>
      </c>
      <c r="E2" s="9">
        <f>16516154</f>
        <v>16516154</v>
      </c>
    </row>
    <row r="3" spans="1:5" x14ac:dyDescent="0.3">
      <c r="D3" t="s">
        <v>4</v>
      </c>
      <c r="E3" s="3">
        <v>156165</v>
      </c>
    </row>
    <row r="4" spans="1:5" x14ac:dyDescent="0.3">
      <c r="D4" t="s">
        <v>3</v>
      </c>
      <c r="E4" s="9">
        <v>10</v>
      </c>
    </row>
    <row r="5" spans="1:5" x14ac:dyDescent="0.3">
      <c r="E5" s="4"/>
    </row>
    <row r="8" spans="1:5" x14ac:dyDescent="0.3">
      <c r="D8" t="s">
        <v>5</v>
      </c>
      <c r="E8" t="s">
        <v>6</v>
      </c>
    </row>
    <row r="9" spans="1:5" x14ac:dyDescent="0.3">
      <c r="D9">
        <v>150</v>
      </c>
      <c r="E9" t="str" cm="1">
        <f t="array" ref="E9">indice(D9)</f>
        <v>Décroissant</v>
      </c>
    </row>
    <row r="10" spans="1:5" x14ac:dyDescent="0.3">
      <c r="D10">
        <v>500</v>
      </c>
      <c r="E10" t="str" cm="1">
        <f t="array" ref="E10">indice(D10)</f>
        <v>Décroissant</v>
      </c>
    </row>
    <row r="11" spans="1:5" x14ac:dyDescent="0.3">
      <c r="D11">
        <v>2000</v>
      </c>
      <c r="E11" t="str" cm="1">
        <f t="array" ref="E11">indice(D11)</f>
        <v>Croissant</v>
      </c>
    </row>
    <row r="12" spans="1:5" x14ac:dyDescent="0.3">
      <c r="D12">
        <v>3000</v>
      </c>
      <c r="E12" t="str" cm="1">
        <f t="array" ref="E12">indice(D12)</f>
        <v>Croissant</v>
      </c>
    </row>
    <row r="13" spans="1:5" x14ac:dyDescent="0.3">
      <c r="D13">
        <v>200</v>
      </c>
      <c r="E13" t="str" cm="1">
        <f t="array" ref="E13">indice(D13)</f>
        <v>Décroissant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Var">
                <anchor moveWithCells="1" sizeWithCells="1">
                  <from>
                    <xdr:col>7</xdr:col>
                    <xdr:colOff>746760</xdr:colOff>
                    <xdr:row>2</xdr:row>
                    <xdr:rowOff>106680</xdr:rowOff>
                  </from>
                  <to>
                    <xdr:col>11</xdr:col>
                    <xdr:colOff>464820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N">
                <anchor moveWithCells="1" sizeWithCells="1">
                  <from>
                    <xdr:col>8</xdr:col>
                    <xdr:colOff>335280</xdr:colOff>
                    <xdr:row>10</xdr:row>
                    <xdr:rowOff>106680</xdr:rowOff>
                  </from>
                  <to>
                    <xdr:col>11</xdr:col>
                    <xdr:colOff>152400</xdr:colOff>
                    <xdr:row>15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NBoucle">
                <anchor moveWithCells="1" sizeWithCells="1">
                  <from>
                    <xdr:col>11</xdr:col>
                    <xdr:colOff>678180</xdr:colOff>
                    <xdr:row>10</xdr:row>
                    <xdr:rowOff>137160</xdr:rowOff>
                  </from>
                  <to>
                    <xdr:col>13</xdr:col>
                    <xdr:colOff>731520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C7EAD-6977-4EE5-8C0B-A3B1812F8598}">
  <sheetPr codeName="Feuil2">
    <tabColor theme="9" tint="0.39997558519241921"/>
  </sheetPr>
  <dimension ref="A1:G24"/>
  <sheetViews>
    <sheetView workbookViewId="0">
      <selection activeCell="B6" sqref="B6"/>
    </sheetView>
  </sheetViews>
  <sheetFormatPr baseColWidth="10" defaultRowHeight="14.4" x14ac:dyDescent="0.3"/>
  <cols>
    <col min="3" max="3" width="16.33203125" bestFit="1" customWidth="1"/>
    <col min="6" max="6" width="14.6640625" bestFit="1" customWidth="1"/>
  </cols>
  <sheetData>
    <row r="1" spans="1:7" x14ac:dyDescent="0.3">
      <c r="A1" t="s">
        <v>7</v>
      </c>
      <c r="B1" t="s">
        <v>31</v>
      </c>
      <c r="C1" t="s">
        <v>32</v>
      </c>
      <c r="F1" t="s">
        <v>33</v>
      </c>
    </row>
    <row r="2" spans="1:7" x14ac:dyDescent="0.3">
      <c r="A2" t="s">
        <v>8</v>
      </c>
      <c r="B2">
        <v>1</v>
      </c>
      <c r="C2" t="str">
        <f>IF(B2&lt;8,"Faible",IF(B2&lt;10,"Moyen",IF(B2&lt;15,"Bien","Excellent")))</f>
        <v>Faible</v>
      </c>
      <c r="D2" t="str" cm="1">
        <f t="array" ref="D2">_xlfn.IFS(B2&lt;8,"Faible",B2&lt;10,"Moyen", B2&lt;15,"Bien",B2&gt;=15,"Excellent")</f>
        <v>Faible</v>
      </c>
      <c r="E2" t="str">
        <f>IF(B2&lt;8,"Faible",IF(AND(B2&gt;=8,B2&lt;10),"Moyen",IF(AND(B2&gt;=10,B2&gt;=10,B2&lt;15),"Bien","Excellent")))</f>
        <v>Faible</v>
      </c>
      <c r="F2" t="str" cm="1">
        <f t="array" ref="F2">CmNote(B2)</f>
        <v>Faible</v>
      </c>
      <c r="G2" t="s">
        <v>34</v>
      </c>
    </row>
    <row r="3" spans="1:7" x14ac:dyDescent="0.3">
      <c r="A3" t="s">
        <v>9</v>
      </c>
      <c r="B3">
        <v>17</v>
      </c>
      <c r="C3" t="str">
        <f t="shared" ref="C3:C22" si="0">IF(B3&lt;8,"Faible",IF(B3&lt;10,"Moyen",IF(B3&lt;15,"Bien","Excellent")))</f>
        <v>Excellent</v>
      </c>
      <c r="D3" t="str" cm="1">
        <f t="array" ref="D3">_xlfn.IFS(B3&lt;8,"Faible",B3&lt;10,"Moyen", B3&lt;15,"Bien",B3&gt;=15,"Excellent")</f>
        <v>Excellent</v>
      </c>
      <c r="E3" t="str">
        <f t="shared" ref="E3:E22" si="1">IF(B3&lt;8,"Faible",IF(AND(B3&gt;=8,B3&lt;10),"Moyen",IF(AND(B3&gt;=10,B3&gt;=10,B3&lt;15),"Bien","Excellent")))</f>
        <v>Excellent</v>
      </c>
      <c r="F3" t="str" cm="1">
        <f t="array" ref="F3">CmNote(B3)</f>
        <v>Excellent</v>
      </c>
      <c r="G3" t="s">
        <v>36</v>
      </c>
    </row>
    <row r="4" spans="1:7" x14ac:dyDescent="0.3">
      <c r="A4" t="s">
        <v>10</v>
      </c>
      <c r="B4">
        <v>7</v>
      </c>
      <c r="C4" t="str">
        <f t="shared" si="0"/>
        <v>Faible</v>
      </c>
      <c r="D4" t="str" cm="1">
        <f t="array" ref="D4">_xlfn.IFS(B4&lt;8,"Faible",B4&lt;10,"Moyen", B4&lt;15,"Bien",B4&gt;=15,"Excellent")</f>
        <v>Faible</v>
      </c>
      <c r="E4" t="str">
        <f t="shared" si="1"/>
        <v>Faible</v>
      </c>
      <c r="F4" t="str" cm="1">
        <f t="array" ref="F4">CmNote(B4)</f>
        <v>Faible</v>
      </c>
      <c r="G4" t="s">
        <v>34</v>
      </c>
    </row>
    <row r="5" spans="1:7" x14ac:dyDescent="0.3">
      <c r="A5" t="s">
        <v>11</v>
      </c>
      <c r="B5">
        <v>1</v>
      </c>
      <c r="C5" t="str">
        <f t="shared" si="0"/>
        <v>Faible</v>
      </c>
      <c r="D5" t="str" cm="1">
        <f t="array" ref="D5">_xlfn.IFS(B5&lt;8,"Faible",B5&lt;10,"Moyen", B5&lt;15,"Bien",B5&gt;=15,"Excellent")</f>
        <v>Faible</v>
      </c>
      <c r="E5" t="str">
        <f t="shared" si="1"/>
        <v>Faible</v>
      </c>
      <c r="F5" t="str" cm="1">
        <f t="array" ref="F5">CmNote(B5)</f>
        <v>Faible</v>
      </c>
      <c r="G5" t="s">
        <v>34</v>
      </c>
    </row>
    <row r="6" spans="1:7" x14ac:dyDescent="0.3">
      <c r="A6" t="s">
        <v>12</v>
      </c>
      <c r="B6">
        <v>2</v>
      </c>
      <c r="C6" t="str">
        <f t="shared" si="0"/>
        <v>Faible</v>
      </c>
      <c r="D6" t="str" cm="1">
        <f t="array" ref="D6">_xlfn.IFS(B6&lt;8,"Faible",B6&lt;10,"Moyen", B6&lt;15,"Bien",B6&gt;=15,"Excellent")</f>
        <v>Faible</v>
      </c>
      <c r="E6" t="str">
        <f t="shared" si="1"/>
        <v>Faible</v>
      </c>
      <c r="F6" t="str" cm="1">
        <f t="array" ref="F6">CmNote(B6)</f>
        <v>Faible</v>
      </c>
      <c r="G6" t="s">
        <v>34</v>
      </c>
    </row>
    <row r="7" spans="1:7" x14ac:dyDescent="0.3">
      <c r="A7" t="s">
        <v>13</v>
      </c>
      <c r="B7">
        <v>17</v>
      </c>
      <c r="C7" t="str">
        <f t="shared" si="0"/>
        <v>Excellent</v>
      </c>
      <c r="D7" t="str" cm="1">
        <f t="array" ref="D7">_xlfn.IFS(B7&lt;8,"Faible",B7&lt;10,"Moyen", B7&lt;15,"Bien",B7&gt;=15,"Excellent")</f>
        <v>Excellent</v>
      </c>
      <c r="E7" t="str">
        <f t="shared" si="1"/>
        <v>Excellent</v>
      </c>
      <c r="F7" t="str" cm="1">
        <f t="array" ref="F7">CmNote(B7)</f>
        <v>Excellent</v>
      </c>
      <c r="G7" t="s">
        <v>36</v>
      </c>
    </row>
    <row r="8" spans="1:7" x14ac:dyDescent="0.3">
      <c r="A8" t="s">
        <v>14</v>
      </c>
      <c r="B8">
        <v>19</v>
      </c>
      <c r="C8" t="str">
        <f t="shared" si="0"/>
        <v>Excellent</v>
      </c>
      <c r="D8" t="str" cm="1">
        <f t="array" ref="D8">_xlfn.IFS(B8&lt;8,"Faible",B8&lt;10,"Moyen", B8&lt;15,"Bien",B8&gt;=15,"Excellent")</f>
        <v>Excellent</v>
      </c>
      <c r="E8" t="str">
        <f t="shared" si="1"/>
        <v>Excellent</v>
      </c>
      <c r="F8" t="str" cm="1">
        <f t="array" ref="F8">CmNote(B8)</f>
        <v>Excellent</v>
      </c>
      <c r="G8" t="s">
        <v>36</v>
      </c>
    </row>
    <row r="9" spans="1:7" x14ac:dyDescent="0.3">
      <c r="A9" t="s">
        <v>15</v>
      </c>
      <c r="B9">
        <v>20</v>
      </c>
      <c r="C9" t="str">
        <f t="shared" si="0"/>
        <v>Excellent</v>
      </c>
      <c r="D9" t="str" cm="1">
        <f t="array" ref="D9">_xlfn.IFS(B9&lt;8,"Faible",B9&lt;10,"Moyen", B9&lt;15,"Bien",B9&gt;=15,"Excellent")</f>
        <v>Excellent</v>
      </c>
      <c r="E9" t="str">
        <f t="shared" si="1"/>
        <v>Excellent</v>
      </c>
      <c r="F9" t="str" cm="1">
        <f t="array" ref="F9">CmNote(B9)</f>
        <v>Excellent</v>
      </c>
      <c r="G9" t="s">
        <v>36</v>
      </c>
    </row>
    <row r="10" spans="1:7" x14ac:dyDescent="0.3">
      <c r="A10" t="s">
        <v>16</v>
      </c>
      <c r="B10">
        <v>19</v>
      </c>
      <c r="C10" t="str">
        <f t="shared" si="0"/>
        <v>Excellent</v>
      </c>
      <c r="D10" t="str" cm="1">
        <f t="array" ref="D10">_xlfn.IFS(B10&lt;8,"Faible",B10&lt;10,"Moyen", B10&lt;15,"Bien",B10&gt;=15,"Excellent")</f>
        <v>Excellent</v>
      </c>
      <c r="E10" t="str">
        <f t="shared" si="1"/>
        <v>Excellent</v>
      </c>
      <c r="F10" t="str" cm="1">
        <f t="array" ref="F10">CmNote(B10)</f>
        <v>Excellent</v>
      </c>
      <c r="G10" t="s">
        <v>36</v>
      </c>
    </row>
    <row r="11" spans="1:7" x14ac:dyDescent="0.3">
      <c r="A11" t="s">
        <v>17</v>
      </c>
      <c r="B11">
        <v>9</v>
      </c>
      <c r="C11" t="str">
        <f t="shared" si="0"/>
        <v>Moyen</v>
      </c>
      <c r="D11" t="str" cm="1">
        <f t="array" ref="D11">_xlfn.IFS(B11&lt;8,"Faible",B11&lt;10,"Moyen", B11&lt;15,"Bien",B11&gt;=15,"Excellent")</f>
        <v>Moyen</v>
      </c>
      <c r="E11" t="str">
        <f t="shared" si="1"/>
        <v>Moyen</v>
      </c>
      <c r="F11" t="str" cm="1">
        <f t="array" ref="F11">CmNote(B11)</f>
        <v>Moyen</v>
      </c>
      <c r="G11" t="s">
        <v>35</v>
      </c>
    </row>
    <row r="12" spans="1:7" x14ac:dyDescent="0.3">
      <c r="A12" t="s">
        <v>18</v>
      </c>
      <c r="B12">
        <v>14</v>
      </c>
      <c r="C12" t="str">
        <f t="shared" si="0"/>
        <v>Bien</v>
      </c>
      <c r="D12" t="str" cm="1">
        <f t="array" ref="D12">_xlfn.IFS(B12&lt;8,"Faible",B12&lt;10,"Moyen", B12&lt;15,"Bien",B12&gt;=15,"Excellent")</f>
        <v>Bien</v>
      </c>
      <c r="E12" t="str">
        <f t="shared" si="1"/>
        <v>Bien</v>
      </c>
      <c r="F12" t="str" cm="1">
        <f t="array" ref="F12">CmNote(B12)</f>
        <v>Bien</v>
      </c>
      <c r="G12" t="s">
        <v>37</v>
      </c>
    </row>
    <row r="13" spans="1:7" x14ac:dyDescent="0.3">
      <c r="A13" t="s">
        <v>19</v>
      </c>
      <c r="B13">
        <v>5</v>
      </c>
      <c r="C13" t="str">
        <f t="shared" si="0"/>
        <v>Faible</v>
      </c>
      <c r="D13" t="str" cm="1">
        <f t="array" ref="D13">_xlfn.IFS(B13&lt;8,"Faible",B13&lt;10,"Moyen", B13&lt;15,"Bien",B13&gt;=15,"Excellent")</f>
        <v>Faible</v>
      </c>
      <c r="E13" t="str">
        <f t="shared" si="1"/>
        <v>Faible</v>
      </c>
      <c r="F13" t="str" cm="1">
        <f t="array" ref="F13">CmNote(B13)</f>
        <v>Faible</v>
      </c>
      <c r="G13" t="s">
        <v>34</v>
      </c>
    </row>
    <row r="14" spans="1:7" x14ac:dyDescent="0.3">
      <c r="A14" t="s">
        <v>20</v>
      </c>
      <c r="B14">
        <v>8</v>
      </c>
      <c r="C14" t="str">
        <f t="shared" si="0"/>
        <v>Moyen</v>
      </c>
      <c r="D14" t="str" cm="1">
        <f t="array" ref="D14">_xlfn.IFS(B14&lt;8,"Faible",B14&lt;10,"Moyen", B14&lt;15,"Bien",B14&gt;=15,"Excellent")</f>
        <v>Moyen</v>
      </c>
      <c r="E14" t="str">
        <f t="shared" si="1"/>
        <v>Moyen</v>
      </c>
      <c r="F14" t="str" cm="1">
        <f t="array" ref="F14">CmNote(B14)</f>
        <v>Moyen</v>
      </c>
      <c r="G14" t="s">
        <v>35</v>
      </c>
    </row>
    <row r="15" spans="1:7" x14ac:dyDescent="0.3">
      <c r="A15" t="s">
        <v>21</v>
      </c>
      <c r="B15">
        <v>1</v>
      </c>
      <c r="C15" t="str">
        <f t="shared" si="0"/>
        <v>Faible</v>
      </c>
      <c r="D15" t="str" cm="1">
        <f t="array" ref="D15">_xlfn.IFS(B15&lt;8,"Faible",B15&lt;10,"Moyen", B15&lt;15,"Bien",B15&gt;=15,"Excellent")</f>
        <v>Faible</v>
      </c>
      <c r="E15" t="str">
        <f t="shared" si="1"/>
        <v>Faible</v>
      </c>
      <c r="F15" t="str" cm="1">
        <f t="array" ref="F15">CmNote(B15)</f>
        <v>Faible</v>
      </c>
      <c r="G15" t="s">
        <v>34</v>
      </c>
    </row>
    <row r="16" spans="1:7" x14ac:dyDescent="0.3">
      <c r="A16" t="s">
        <v>22</v>
      </c>
      <c r="B16">
        <v>7</v>
      </c>
      <c r="C16" t="str">
        <f t="shared" si="0"/>
        <v>Faible</v>
      </c>
      <c r="D16" t="str" cm="1">
        <f t="array" ref="D16">_xlfn.IFS(B16&lt;8,"Faible",B16&lt;10,"Moyen", B16&lt;15,"Bien",B16&gt;=15,"Excellent")</f>
        <v>Faible</v>
      </c>
      <c r="E16" t="str">
        <f t="shared" si="1"/>
        <v>Faible</v>
      </c>
      <c r="F16" t="str" cm="1">
        <f t="array" ref="F16">CmNote(B16)</f>
        <v>Faible</v>
      </c>
      <c r="G16" t="s">
        <v>34</v>
      </c>
    </row>
    <row r="17" spans="1:7" x14ac:dyDescent="0.3">
      <c r="A17" t="s">
        <v>23</v>
      </c>
      <c r="B17">
        <v>16</v>
      </c>
      <c r="C17" t="str">
        <f t="shared" si="0"/>
        <v>Excellent</v>
      </c>
      <c r="D17" t="str" cm="1">
        <f t="array" ref="D17">_xlfn.IFS(B17&lt;8,"Faible",B17&lt;10,"Moyen", B17&lt;15,"Bien",B17&gt;=15,"Excellent")</f>
        <v>Excellent</v>
      </c>
      <c r="E17" t="str">
        <f t="shared" si="1"/>
        <v>Excellent</v>
      </c>
      <c r="F17" t="str" cm="1">
        <f t="array" ref="F17">CmNote(B17)</f>
        <v>Excellent</v>
      </c>
      <c r="G17" t="s">
        <v>36</v>
      </c>
    </row>
    <row r="18" spans="1:7" x14ac:dyDescent="0.3">
      <c r="A18" t="s">
        <v>24</v>
      </c>
      <c r="B18">
        <v>3</v>
      </c>
      <c r="C18" t="str">
        <f t="shared" si="0"/>
        <v>Faible</v>
      </c>
      <c r="D18" t="str" cm="1">
        <f t="array" ref="D18">_xlfn.IFS(B18&lt;8,"Faible",B18&lt;10,"Moyen", B18&lt;15,"Bien",B18&gt;=15,"Excellent")</f>
        <v>Faible</v>
      </c>
      <c r="E18" t="str">
        <f t="shared" si="1"/>
        <v>Faible</v>
      </c>
      <c r="F18" t="str" cm="1">
        <f t="array" ref="F18">CmNote(B18)</f>
        <v>Faible</v>
      </c>
      <c r="G18" t="s">
        <v>34</v>
      </c>
    </row>
    <row r="19" spans="1:7" x14ac:dyDescent="0.3">
      <c r="A19" t="s">
        <v>25</v>
      </c>
      <c r="B19">
        <v>1</v>
      </c>
      <c r="C19" t="str">
        <f t="shared" si="0"/>
        <v>Faible</v>
      </c>
      <c r="D19" t="str" cm="1">
        <f t="array" ref="D19">_xlfn.IFS(B19&lt;8,"Faible",B19&lt;10,"Moyen", B19&lt;15,"Bien",B19&gt;=15,"Excellent")</f>
        <v>Faible</v>
      </c>
      <c r="E19" t="str">
        <f t="shared" si="1"/>
        <v>Faible</v>
      </c>
      <c r="F19" t="str" cm="1">
        <f t="array" ref="F19">CmNote(B19)</f>
        <v>Faible</v>
      </c>
      <c r="G19" t="s">
        <v>34</v>
      </c>
    </row>
    <row r="20" spans="1:7" x14ac:dyDescent="0.3">
      <c r="A20" t="s">
        <v>26</v>
      </c>
      <c r="B20">
        <v>4</v>
      </c>
      <c r="C20" t="str">
        <f t="shared" si="0"/>
        <v>Faible</v>
      </c>
      <c r="D20" t="str" cm="1">
        <f t="array" ref="D20">_xlfn.IFS(B20&lt;8,"Faible",B20&lt;10,"Moyen", B20&lt;15,"Bien",B20&gt;=15,"Excellent")</f>
        <v>Faible</v>
      </c>
      <c r="E20" t="str">
        <f t="shared" si="1"/>
        <v>Faible</v>
      </c>
      <c r="F20" t="str" cm="1">
        <f t="array" ref="F20">CmNote(B20)</f>
        <v>Faible</v>
      </c>
      <c r="G20" t="s">
        <v>34</v>
      </c>
    </row>
    <row r="21" spans="1:7" x14ac:dyDescent="0.3">
      <c r="A21" t="s">
        <v>27</v>
      </c>
      <c r="B21">
        <v>5</v>
      </c>
      <c r="C21" t="str">
        <f t="shared" si="0"/>
        <v>Faible</v>
      </c>
      <c r="D21" t="str" cm="1">
        <f t="array" ref="D21">_xlfn.IFS(B21&lt;8,"Faible",B21&lt;10,"Moyen", B21&lt;15,"Bien",B21&gt;=15,"Excellent")</f>
        <v>Faible</v>
      </c>
      <c r="E21" t="str">
        <f t="shared" si="1"/>
        <v>Faible</v>
      </c>
      <c r="F21" t="str" cm="1">
        <f t="array" ref="F21">CmNote(B21)</f>
        <v>Faible</v>
      </c>
      <c r="G21" t="s">
        <v>34</v>
      </c>
    </row>
    <row r="22" spans="1:7" x14ac:dyDescent="0.3">
      <c r="A22" t="s">
        <v>28</v>
      </c>
      <c r="B22">
        <v>6</v>
      </c>
      <c r="C22" t="str">
        <f t="shared" si="0"/>
        <v>Faible</v>
      </c>
      <c r="D22" t="str" cm="1">
        <f t="array" ref="D22">_xlfn.IFS(B22&lt;8,"Faible",B22&lt;10,"Moyen", B22&lt;15,"Bien",B22&gt;=15,"Excellent")</f>
        <v>Faible</v>
      </c>
      <c r="E22" t="str">
        <f t="shared" si="1"/>
        <v>Faible</v>
      </c>
      <c r="F22" t="str" cm="1">
        <f t="array" ref="F22">CmNote(B22)</f>
        <v>Faible</v>
      </c>
      <c r="G22" t="s">
        <v>34</v>
      </c>
    </row>
    <row r="23" spans="1:7" x14ac:dyDescent="0.3">
      <c r="A23" t="s">
        <v>29</v>
      </c>
      <c r="B23">
        <v>7</v>
      </c>
      <c r="G23" t="s">
        <v>34</v>
      </c>
    </row>
    <row r="24" spans="1:7" x14ac:dyDescent="0.3">
      <c r="A24" t="s">
        <v>30</v>
      </c>
      <c r="B24">
        <v>8</v>
      </c>
      <c r="G24" t="s">
        <v>35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mtBoucle">
                <anchor moveWithCells="1" sizeWithCells="1">
                  <from>
                    <xdr:col>7</xdr:col>
                    <xdr:colOff>495300</xdr:colOff>
                    <xdr:row>2</xdr:row>
                    <xdr:rowOff>106680</xdr:rowOff>
                  </from>
                  <to>
                    <xdr:col>9</xdr:col>
                    <xdr:colOff>693420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mtBoucle">
                <anchor moveWithCells="1" sizeWithCells="1">
                  <from>
                    <xdr:col>8</xdr:col>
                    <xdr:colOff>213360</xdr:colOff>
                    <xdr:row>8</xdr:row>
                    <xdr:rowOff>137160</xdr:rowOff>
                  </from>
                  <to>
                    <xdr:col>9</xdr:col>
                    <xdr:colOff>327660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EE23D-7D38-4583-8A72-ECCE2E1E5387}">
  <sheetPr codeName="Feuil4">
    <tabColor rgb="FFFF0000"/>
  </sheetPr>
  <dimension ref="A1:A6"/>
  <sheetViews>
    <sheetView workbookViewId="0">
      <selection activeCell="A7" sqref="A7"/>
    </sheetView>
  </sheetViews>
  <sheetFormatPr baseColWidth="10" defaultRowHeight="14.4" x14ac:dyDescent="0.3"/>
  <sheetData>
    <row r="1" spans="1:1" x14ac:dyDescent="0.3">
      <c r="A1" t="s">
        <v>81</v>
      </c>
    </row>
    <row r="2" spans="1:1" x14ac:dyDescent="0.3">
      <c r="A2" t="s">
        <v>84</v>
      </c>
    </row>
    <row r="3" spans="1:1" x14ac:dyDescent="0.3">
      <c r="A3" t="s">
        <v>83</v>
      </c>
    </row>
    <row r="4" spans="1:1" x14ac:dyDescent="0.3">
      <c r="A4" t="s">
        <v>85</v>
      </c>
    </row>
    <row r="5" spans="1:1" x14ac:dyDescent="0.3">
      <c r="A5" t="s">
        <v>88</v>
      </c>
    </row>
    <row r="6" spans="1:1" x14ac:dyDescent="0.3">
      <c r="A6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505E-1ED3-4001-B04E-6C7079814A1E}">
  <sheetPr codeName="Feuil3">
    <tabColor rgb="FF00B0F0"/>
  </sheetPr>
  <dimension ref="A1:K26"/>
  <sheetViews>
    <sheetView workbookViewId="0">
      <selection activeCell="G2" sqref="G2"/>
    </sheetView>
  </sheetViews>
  <sheetFormatPr baseColWidth="10" defaultRowHeight="14.4" x14ac:dyDescent="0.3"/>
  <cols>
    <col min="1" max="1" width="12.5546875" bestFit="1" customWidth="1"/>
    <col min="2" max="2" width="7" bestFit="1" customWidth="1"/>
    <col min="3" max="3" width="30.33203125" bestFit="1" customWidth="1"/>
    <col min="4" max="4" width="28.33203125" bestFit="1" customWidth="1"/>
    <col min="5" max="5" width="22.6640625" bestFit="1" customWidth="1"/>
    <col min="10" max="11" width="18.77734375" bestFit="1" customWidth="1"/>
    <col min="12" max="12" width="9.109375" bestFit="1" customWidth="1"/>
  </cols>
  <sheetData>
    <row r="1" spans="1:11" x14ac:dyDescent="0.3">
      <c r="A1" s="5" t="s">
        <v>55</v>
      </c>
      <c r="B1" s="5" t="s">
        <v>31</v>
      </c>
      <c r="C1" t="s">
        <v>86</v>
      </c>
      <c r="D1" t="s">
        <v>87</v>
      </c>
      <c r="E1" t="s">
        <v>90</v>
      </c>
    </row>
    <row r="2" spans="1:11" x14ac:dyDescent="0.3">
      <c r="A2" t="s">
        <v>56</v>
      </c>
      <c r="B2" s="1" t="s">
        <v>53</v>
      </c>
      <c r="C2" t="str">
        <f>IFERROR(VLOOKUP(B2,I:J,2,FALSE),"Note indisponible")</f>
        <v>Lower medium grade</v>
      </c>
      <c r="D2" t="s">
        <v>54</v>
      </c>
      <c r="E2" t="str" cm="1">
        <f t="array" ref="E2">SignNoteF(B2)</f>
        <v>Lower Medium grade</v>
      </c>
    </row>
    <row r="3" spans="1:11" x14ac:dyDescent="0.3">
      <c r="A3" t="s">
        <v>57</v>
      </c>
      <c r="B3" t="s">
        <v>45</v>
      </c>
      <c r="C3" t="str">
        <f t="shared" ref="C3:C26" si="0">IFERROR(VLOOKUP(B3,I:J,2,FALSE),"Note indisponible")</f>
        <v>High grade</v>
      </c>
      <c r="D3" t="s">
        <v>43</v>
      </c>
      <c r="E3" t="str" cm="1">
        <f t="array" ref="E3">SignNoteF(B3)</f>
        <v>High grade</v>
      </c>
      <c r="I3" s="6" t="s">
        <v>38</v>
      </c>
      <c r="J3" s="6" t="s">
        <v>39</v>
      </c>
    </row>
    <row r="4" spans="1:11" x14ac:dyDescent="0.3">
      <c r="A4" t="s">
        <v>58</v>
      </c>
      <c r="B4" t="s">
        <v>51</v>
      </c>
      <c r="C4" t="str">
        <f t="shared" si="0"/>
        <v>Lower medium grade</v>
      </c>
      <c r="D4" t="s">
        <v>54</v>
      </c>
      <c r="E4" t="str" cm="1">
        <f t="array" ref="E4">SignNoteF(B4)</f>
        <v>Lower Medium grade</v>
      </c>
      <c r="H4">
        <v>1</v>
      </c>
      <c r="I4" s="7" t="s">
        <v>40</v>
      </c>
      <c r="J4" s="8" t="s">
        <v>41</v>
      </c>
      <c r="K4" t="str">
        <f>K3&amp;""""&amp;I4&amp;""""&amp;";"</f>
        <v>"AAA";</v>
      </c>
    </row>
    <row r="5" spans="1:11" x14ac:dyDescent="0.3">
      <c r="A5" t="s">
        <v>59</v>
      </c>
      <c r="B5" t="s">
        <v>42</v>
      </c>
      <c r="C5" t="str">
        <f t="shared" si="0"/>
        <v>High grade</v>
      </c>
      <c r="D5" t="s">
        <v>43</v>
      </c>
      <c r="E5" t="str" cm="1">
        <f t="array" ref="E5">SignNoteF(B5)</f>
        <v>High grade</v>
      </c>
      <c r="H5">
        <v>2</v>
      </c>
      <c r="I5" s="7" t="s">
        <v>42</v>
      </c>
      <c r="J5" s="8" t="s">
        <v>43</v>
      </c>
      <c r="K5" t="str">
        <f t="shared" ref="K5:K12" si="1">K4&amp;""""&amp;I5&amp;""""&amp;";"</f>
        <v>"AAA";"AA+";</v>
      </c>
    </row>
    <row r="6" spans="1:11" x14ac:dyDescent="0.3">
      <c r="A6" t="s">
        <v>60</v>
      </c>
      <c r="B6" t="s">
        <v>52</v>
      </c>
      <c r="C6" t="str">
        <f t="shared" si="0"/>
        <v>Lower medium grade</v>
      </c>
      <c r="D6" t="s">
        <v>54</v>
      </c>
      <c r="E6" t="str" cm="1">
        <f t="array" ref="E6">SignNoteF(B6)</f>
        <v>Lower Medium grade</v>
      </c>
      <c r="H6">
        <v>3</v>
      </c>
      <c r="I6" s="7" t="s">
        <v>44</v>
      </c>
      <c r="J6" s="8" t="s">
        <v>43</v>
      </c>
      <c r="K6" t="str">
        <f t="shared" si="1"/>
        <v>"AAA";"AA+";"AA";</v>
      </c>
    </row>
    <row r="7" spans="1:11" x14ac:dyDescent="0.3">
      <c r="A7" t="s">
        <v>61</v>
      </c>
      <c r="B7" t="s">
        <v>50</v>
      </c>
      <c r="C7" t="str">
        <f t="shared" si="0"/>
        <v>Upper medium grade</v>
      </c>
      <c r="D7" t="s">
        <v>47</v>
      </c>
      <c r="E7" t="str" cm="1">
        <f t="array" ref="E7">SignNoteF(B7)</f>
        <v>Upper grade</v>
      </c>
      <c r="H7">
        <v>4</v>
      </c>
      <c r="I7" s="7" t="s">
        <v>45</v>
      </c>
      <c r="J7" s="8" t="s">
        <v>43</v>
      </c>
      <c r="K7" t="str">
        <f t="shared" si="1"/>
        <v>"AAA";"AA+";"AA";"AA-";</v>
      </c>
    </row>
    <row r="8" spans="1:11" x14ac:dyDescent="0.3">
      <c r="A8" t="s">
        <v>62</v>
      </c>
      <c r="B8" t="s">
        <v>44</v>
      </c>
      <c r="C8" t="str">
        <f t="shared" si="0"/>
        <v>High grade</v>
      </c>
      <c r="D8" t="s">
        <v>43</v>
      </c>
      <c r="E8" t="str" cm="1">
        <f t="array" ref="E8">SignNoteF(B8)</f>
        <v>High grade</v>
      </c>
      <c r="H8">
        <v>5</v>
      </c>
      <c r="I8" s="7" t="s">
        <v>46</v>
      </c>
      <c r="J8" s="8" t="s">
        <v>47</v>
      </c>
      <c r="K8" t="str">
        <f t="shared" si="1"/>
        <v>"AAA";"AA+";"AA";"AA-";"A+";</v>
      </c>
    </row>
    <row r="9" spans="1:11" x14ac:dyDescent="0.3">
      <c r="A9" t="s">
        <v>63</v>
      </c>
      <c r="B9" t="s">
        <v>42</v>
      </c>
      <c r="C9" t="str">
        <f t="shared" si="0"/>
        <v>High grade</v>
      </c>
      <c r="D9" t="s">
        <v>43</v>
      </c>
      <c r="E9" t="str" cm="1">
        <f t="array" ref="E9">SignNoteF(B9)</f>
        <v>High grade</v>
      </c>
      <c r="H9">
        <v>6</v>
      </c>
      <c r="I9" s="7" t="s">
        <v>48</v>
      </c>
      <c r="J9" s="8" t="s">
        <v>49</v>
      </c>
      <c r="K9" t="str">
        <f t="shared" si="1"/>
        <v>"AAA";"AA+";"AA";"AA-";"A+";"A";</v>
      </c>
    </row>
    <row r="10" spans="1:11" x14ac:dyDescent="0.3">
      <c r="A10" t="s">
        <v>64</v>
      </c>
      <c r="B10" t="s">
        <v>44</v>
      </c>
      <c r="C10" t="str">
        <f t="shared" si="0"/>
        <v>High grade</v>
      </c>
      <c r="D10" t="s">
        <v>43</v>
      </c>
      <c r="E10" t="str" cm="1">
        <f t="array" ref="E10">SignNoteF(B10)</f>
        <v>High grade</v>
      </c>
      <c r="H10">
        <v>7</v>
      </c>
      <c r="I10" s="7" t="s">
        <v>50</v>
      </c>
      <c r="J10" s="8" t="s">
        <v>47</v>
      </c>
      <c r="K10" t="str">
        <f t="shared" si="1"/>
        <v>"AAA";"AA+";"AA";"AA-";"A+";"A";"A-";</v>
      </c>
    </row>
    <row r="11" spans="1:11" x14ac:dyDescent="0.3">
      <c r="A11" t="s">
        <v>65</v>
      </c>
      <c r="B11" t="s">
        <v>53</v>
      </c>
      <c r="C11" t="str">
        <f t="shared" si="0"/>
        <v>Lower medium grade</v>
      </c>
      <c r="D11" t="s">
        <v>54</v>
      </c>
      <c r="E11" t="str" cm="1">
        <f t="array" ref="E11">SignNoteF(B11)</f>
        <v>Lower Medium grade</v>
      </c>
      <c r="H11">
        <v>8</v>
      </c>
      <c r="I11" s="7" t="s">
        <v>51</v>
      </c>
      <c r="J11" s="8" t="s">
        <v>54</v>
      </c>
      <c r="K11" t="str">
        <f t="shared" si="1"/>
        <v>"AAA";"AA+";"AA";"AA-";"A+";"A";"A-";"BBB+";</v>
      </c>
    </row>
    <row r="12" spans="1:11" x14ac:dyDescent="0.3">
      <c r="A12" t="s">
        <v>66</v>
      </c>
      <c r="B12" t="s">
        <v>48</v>
      </c>
      <c r="C12" t="str">
        <f t="shared" si="0"/>
        <v xml:space="preserve">Upper medium grade </v>
      </c>
      <c r="D12" t="s">
        <v>47</v>
      </c>
      <c r="E12" t="str" cm="1">
        <f t="array" ref="E12">SignNoteF(B12)</f>
        <v>Upper grade</v>
      </c>
      <c r="H12">
        <v>9</v>
      </c>
      <c r="I12" s="7" t="s">
        <v>52</v>
      </c>
      <c r="J12" s="8" t="s">
        <v>54</v>
      </c>
      <c r="K12" t="str">
        <f t="shared" si="1"/>
        <v>"AAA";"AA+";"AA";"AA-";"A+";"A";"A-";"BBB+";"BBB";</v>
      </c>
    </row>
    <row r="13" spans="1:11" x14ac:dyDescent="0.3">
      <c r="A13" t="s">
        <v>67</v>
      </c>
      <c r="B13" t="s">
        <v>48</v>
      </c>
      <c r="C13" t="str">
        <f t="shared" si="0"/>
        <v xml:space="preserve">Upper medium grade </v>
      </c>
      <c r="D13" t="s">
        <v>47</v>
      </c>
      <c r="E13" t="str" cm="1">
        <f t="array" ref="E13">SignNoteF(B13)</f>
        <v>Upper grade</v>
      </c>
      <c r="H13">
        <v>10</v>
      </c>
      <c r="I13" s="7" t="s">
        <v>53</v>
      </c>
      <c r="J13" s="8" t="s">
        <v>54</v>
      </c>
      <c r="K13" t="s">
        <v>82</v>
      </c>
    </row>
    <row r="14" spans="1:11" x14ac:dyDescent="0.3">
      <c r="A14" t="s">
        <v>68</v>
      </c>
      <c r="B14" t="s">
        <v>48</v>
      </c>
      <c r="C14" t="str">
        <f t="shared" si="0"/>
        <v xml:space="preserve">Upper medium grade </v>
      </c>
      <c r="D14" t="s">
        <v>47</v>
      </c>
      <c r="E14" t="str" cm="1">
        <f t="array" ref="E14">SignNoteF(B14)</f>
        <v>Upper grade</v>
      </c>
    </row>
    <row r="15" spans="1:11" x14ac:dyDescent="0.3">
      <c r="A15" t="s">
        <v>69</v>
      </c>
      <c r="B15" t="s">
        <v>45</v>
      </c>
      <c r="C15" t="str">
        <f t="shared" si="0"/>
        <v>High grade</v>
      </c>
      <c r="D15" t="s">
        <v>43</v>
      </c>
      <c r="E15" t="str" cm="1">
        <f t="array" ref="E15">SignNoteF(B15)</f>
        <v>High grade</v>
      </c>
    </row>
    <row r="16" spans="1:11" x14ac:dyDescent="0.3">
      <c r="A16" t="s">
        <v>70</v>
      </c>
      <c r="B16" t="s">
        <v>45</v>
      </c>
      <c r="C16" t="str">
        <f t="shared" si="0"/>
        <v>High grade</v>
      </c>
      <c r="D16" t="s">
        <v>43</v>
      </c>
      <c r="E16" t="str" cm="1">
        <f t="array" ref="E16">SignNoteF(B16)</f>
        <v>High grade</v>
      </c>
    </row>
    <row r="17" spans="1:5" x14ac:dyDescent="0.3">
      <c r="A17" t="s">
        <v>71</v>
      </c>
      <c r="B17" t="s">
        <v>48</v>
      </c>
      <c r="C17" t="str">
        <f t="shared" si="0"/>
        <v xml:space="preserve">Upper medium grade </v>
      </c>
      <c r="D17" t="s">
        <v>47</v>
      </c>
      <c r="E17" t="str" cm="1">
        <f t="array" ref="E17">SignNoteF(B17)</f>
        <v>Upper grade</v>
      </c>
    </row>
    <row r="18" spans="1:5" x14ac:dyDescent="0.3">
      <c r="A18" t="s">
        <v>72</v>
      </c>
      <c r="B18" t="s">
        <v>52</v>
      </c>
      <c r="C18" t="str">
        <f t="shared" si="0"/>
        <v>Lower medium grade</v>
      </c>
      <c r="D18" t="s">
        <v>54</v>
      </c>
      <c r="E18" t="str" cm="1">
        <f t="array" ref="E18">SignNoteF(B18)</f>
        <v>Lower Medium grade</v>
      </c>
    </row>
    <row r="19" spans="1:5" x14ac:dyDescent="0.3">
      <c r="A19" t="s">
        <v>73</v>
      </c>
      <c r="B19" t="s">
        <v>51</v>
      </c>
      <c r="C19" t="str">
        <f t="shared" si="0"/>
        <v>Lower medium grade</v>
      </c>
      <c r="D19" t="s">
        <v>54</v>
      </c>
      <c r="E19" t="str" cm="1">
        <f t="array" ref="E19">SignNoteF(B19)</f>
        <v>Lower Medium grade</v>
      </c>
    </row>
    <row r="20" spans="1:5" x14ac:dyDescent="0.3">
      <c r="A20" t="s">
        <v>74</v>
      </c>
      <c r="B20" t="s">
        <v>40</v>
      </c>
      <c r="C20" t="str">
        <f t="shared" si="0"/>
        <v>Prime</v>
      </c>
      <c r="D20" t="s">
        <v>41</v>
      </c>
      <c r="E20" t="str" cm="1">
        <f t="array" ref="E20">SignNoteF(B20)</f>
        <v>Prime</v>
      </c>
    </row>
    <row r="21" spans="1:5" x14ac:dyDescent="0.3">
      <c r="A21" t="s">
        <v>75</v>
      </c>
      <c r="B21" t="s">
        <v>48</v>
      </c>
      <c r="C21" t="str">
        <f t="shared" si="0"/>
        <v xml:space="preserve">Upper medium grade </v>
      </c>
      <c r="D21" t="s">
        <v>47</v>
      </c>
      <c r="E21" t="str" cm="1">
        <f t="array" ref="E21">SignNoteF(B21)</f>
        <v>Upper grade</v>
      </c>
    </row>
    <row r="22" spans="1:5" x14ac:dyDescent="0.3">
      <c r="A22" t="s">
        <v>76</v>
      </c>
      <c r="B22" t="s">
        <v>50</v>
      </c>
      <c r="C22" t="str">
        <f t="shared" si="0"/>
        <v>Upper medium grade</v>
      </c>
      <c r="D22" t="s">
        <v>47</v>
      </c>
      <c r="E22" t="str" cm="1">
        <f t="array" ref="E22">SignNoteF(B22)</f>
        <v>Upper grade</v>
      </c>
    </row>
    <row r="23" spans="1:5" x14ac:dyDescent="0.3">
      <c r="A23" t="s">
        <v>77</v>
      </c>
      <c r="B23" t="s">
        <v>53</v>
      </c>
      <c r="C23" t="str">
        <f t="shared" si="0"/>
        <v>Lower medium grade</v>
      </c>
      <c r="D23" t="s">
        <v>54</v>
      </c>
      <c r="E23" t="str" cm="1">
        <f t="array" ref="E23">SignNoteF(B23)</f>
        <v>Lower Medium grade</v>
      </c>
    </row>
    <row r="24" spans="1:5" x14ac:dyDescent="0.3">
      <c r="A24" t="s">
        <v>78</v>
      </c>
      <c r="B24" t="s">
        <v>40</v>
      </c>
      <c r="C24" t="str">
        <f t="shared" si="0"/>
        <v>Prime</v>
      </c>
      <c r="D24" t="s">
        <v>41</v>
      </c>
      <c r="E24" t="str" cm="1">
        <f t="array" ref="E24">SignNoteF(B24)</f>
        <v>Prime</v>
      </c>
    </row>
    <row r="25" spans="1:5" x14ac:dyDescent="0.3">
      <c r="A25" t="s">
        <v>79</v>
      </c>
      <c r="B25" t="s">
        <v>46</v>
      </c>
      <c r="C25" t="str">
        <f t="shared" si="0"/>
        <v>Upper medium grade</v>
      </c>
      <c r="D25" t="s">
        <v>47</v>
      </c>
      <c r="E25" t="str" cm="1">
        <f t="array" ref="E25">SignNoteF(B25)</f>
        <v>Upper grade</v>
      </c>
    </row>
    <row r="26" spans="1:5" x14ac:dyDescent="0.3">
      <c r="A26" t="s">
        <v>80</v>
      </c>
      <c r="B26" t="s">
        <v>44</v>
      </c>
      <c r="C26" t="str">
        <f t="shared" si="0"/>
        <v>High grade</v>
      </c>
      <c r="D26" t="s">
        <v>43</v>
      </c>
      <c r="E26" t="str" cm="1">
        <f t="array" ref="E26">SignNoteF(B26)</f>
        <v>High grade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ignAg">
                <anchor moveWithCells="1" sizeWithCells="1">
                  <from>
                    <xdr:col>5</xdr:col>
                    <xdr:colOff>670560</xdr:colOff>
                    <xdr:row>4</xdr:row>
                    <xdr:rowOff>121920</xdr:rowOff>
                  </from>
                  <to>
                    <xdr:col>7</xdr:col>
                    <xdr:colOff>335280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E56F6-A6FB-453E-A299-591A449962DC}">
  <sheetPr codeName="Feuil5">
    <tabColor theme="8" tint="0.39997558519241921"/>
  </sheetPr>
  <dimension ref="A1:C10"/>
  <sheetViews>
    <sheetView workbookViewId="0">
      <selection activeCell="B13" sqref="B13"/>
    </sheetView>
  </sheetViews>
  <sheetFormatPr baseColWidth="10" defaultRowHeight="14.4" x14ac:dyDescent="0.3"/>
  <sheetData>
    <row r="1" spans="1:3" x14ac:dyDescent="0.3">
      <c r="A1" t="s">
        <v>92</v>
      </c>
      <c r="B1" t="s">
        <v>93</v>
      </c>
      <c r="C1" t="s">
        <v>102</v>
      </c>
    </row>
    <row r="2" spans="1:3" x14ac:dyDescent="0.3">
      <c r="A2" t="s">
        <v>48</v>
      </c>
      <c r="B2">
        <f>CODE(A2)</f>
        <v>65</v>
      </c>
      <c r="C2" t="str">
        <f>CHAR(B2)</f>
        <v>A</v>
      </c>
    </row>
    <row r="3" spans="1:3" x14ac:dyDescent="0.3">
      <c r="A3" t="s">
        <v>94</v>
      </c>
      <c r="B3">
        <f t="shared" ref="B3:B10" si="0">CODE(A3)</f>
        <v>66</v>
      </c>
      <c r="C3" t="str">
        <f t="shared" ref="C3:C10" si="1">CHAR(B3)</f>
        <v>B</v>
      </c>
    </row>
    <row r="4" spans="1:3" x14ac:dyDescent="0.3">
      <c r="A4" t="s">
        <v>95</v>
      </c>
      <c r="B4">
        <f t="shared" si="0"/>
        <v>97</v>
      </c>
      <c r="C4" t="str">
        <f t="shared" si="1"/>
        <v>a</v>
      </c>
    </row>
    <row r="5" spans="1:3" x14ac:dyDescent="0.3">
      <c r="A5" t="s">
        <v>96</v>
      </c>
      <c r="B5">
        <f t="shared" si="0"/>
        <v>98</v>
      </c>
      <c r="C5" t="str">
        <f t="shared" si="1"/>
        <v>b</v>
      </c>
    </row>
    <row r="6" spans="1:3" x14ac:dyDescent="0.3">
      <c r="A6" t="s">
        <v>97</v>
      </c>
      <c r="B6">
        <f t="shared" si="0"/>
        <v>99</v>
      </c>
      <c r="C6" t="str">
        <f t="shared" si="1"/>
        <v>c</v>
      </c>
    </row>
    <row r="7" spans="1:3" x14ac:dyDescent="0.3">
      <c r="A7" t="s">
        <v>98</v>
      </c>
      <c r="B7">
        <f t="shared" si="0"/>
        <v>47</v>
      </c>
      <c r="C7" t="str">
        <f t="shared" si="1"/>
        <v>/</v>
      </c>
    </row>
    <row r="8" spans="1:3" x14ac:dyDescent="0.3">
      <c r="A8" t="s">
        <v>99</v>
      </c>
      <c r="B8">
        <f t="shared" si="0"/>
        <v>45</v>
      </c>
      <c r="C8" t="str">
        <f t="shared" si="1"/>
        <v>-</v>
      </c>
    </row>
    <row r="9" spans="1:3" x14ac:dyDescent="0.3">
      <c r="A9" t="s">
        <v>100</v>
      </c>
      <c r="B9">
        <f t="shared" si="0"/>
        <v>32</v>
      </c>
      <c r="C9" t="str">
        <f t="shared" si="1"/>
        <v xml:space="preserve"> </v>
      </c>
    </row>
    <row r="10" spans="1:3" ht="43.2" x14ac:dyDescent="0.3">
      <c r="A10" s="10" t="s">
        <v>101</v>
      </c>
      <c r="B10">
        <f t="shared" si="0"/>
        <v>10</v>
      </c>
      <c r="C10" t="str">
        <f t="shared" si="1"/>
        <v xml:space="preserve">
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91EFA-DC25-4E93-B5DE-790AD2FCF1FC}">
  <sheetPr codeName="Feuil6">
    <tabColor rgb="FFFFA90D"/>
  </sheetPr>
  <dimension ref="A1:C11"/>
  <sheetViews>
    <sheetView workbookViewId="0">
      <selection activeCell="C1" sqref="C1:C11"/>
    </sheetView>
  </sheetViews>
  <sheetFormatPr baseColWidth="10" defaultRowHeight="14.4" x14ac:dyDescent="0.3"/>
  <sheetData>
    <row r="1" spans="1:3" x14ac:dyDescent="0.3">
      <c r="A1" t="s">
        <v>48</v>
      </c>
      <c r="B1">
        <v>0</v>
      </c>
      <c r="C1">
        <v>10</v>
      </c>
    </row>
    <row r="2" spans="1:3" x14ac:dyDescent="0.3">
      <c r="A2" t="s">
        <v>103</v>
      </c>
      <c r="B2">
        <v>1</v>
      </c>
      <c r="C2">
        <v>9</v>
      </c>
    </row>
    <row r="3" spans="1:3" x14ac:dyDescent="0.3">
      <c r="A3" t="s">
        <v>91</v>
      </c>
      <c r="B3">
        <v>2</v>
      </c>
      <c r="C3">
        <v>8</v>
      </c>
    </row>
    <row r="4" spans="1:3" x14ac:dyDescent="0.3">
      <c r="A4" t="s">
        <v>104</v>
      </c>
      <c r="B4">
        <v>3</v>
      </c>
      <c r="C4">
        <v>7</v>
      </c>
    </row>
    <row r="5" spans="1:3" x14ac:dyDescent="0.3">
      <c r="A5" t="s">
        <v>105</v>
      </c>
      <c r="B5">
        <v>4</v>
      </c>
      <c r="C5">
        <v>6</v>
      </c>
    </row>
    <row r="6" spans="1:3" x14ac:dyDescent="0.3">
      <c r="B6">
        <v>5</v>
      </c>
      <c r="C6">
        <v>5</v>
      </c>
    </row>
    <row r="7" spans="1:3" x14ac:dyDescent="0.3">
      <c r="B7">
        <v>6</v>
      </c>
      <c r="C7">
        <v>4</v>
      </c>
    </row>
    <row r="8" spans="1:3" x14ac:dyDescent="0.3">
      <c r="B8">
        <v>7</v>
      </c>
      <c r="C8">
        <v>3</v>
      </c>
    </row>
    <row r="9" spans="1:3" x14ac:dyDescent="0.3">
      <c r="B9">
        <v>8</v>
      </c>
      <c r="C9">
        <v>2</v>
      </c>
    </row>
    <row r="10" spans="1:3" x14ac:dyDescent="0.3">
      <c r="B10">
        <v>9</v>
      </c>
      <c r="C10">
        <v>1</v>
      </c>
    </row>
    <row r="11" spans="1:3" x14ac:dyDescent="0.3">
      <c r="B11">
        <v>10</v>
      </c>
      <c r="C1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DDE11-D6CA-4359-A7C8-29AA11E3B042}">
  <sheetPr codeName="Feuil7">
    <tabColor theme="2" tint="-0.499984740745262"/>
  </sheetPr>
  <dimension ref="A1:G31"/>
  <sheetViews>
    <sheetView tabSelected="1" workbookViewId="0">
      <selection activeCell="A2" sqref="A2:A31"/>
    </sheetView>
  </sheetViews>
  <sheetFormatPr baseColWidth="10" defaultRowHeight="14.4" x14ac:dyDescent="0.3"/>
  <cols>
    <col min="1" max="1" width="13" bestFit="1" customWidth="1"/>
    <col min="2" max="2" width="14.109375" bestFit="1" customWidth="1"/>
    <col min="3" max="3" width="22.77734375" bestFit="1" customWidth="1"/>
  </cols>
  <sheetData>
    <row r="1" spans="1:7" x14ac:dyDescent="0.3">
      <c r="A1" t="s">
        <v>106</v>
      </c>
      <c r="B1" t="s">
        <v>107</v>
      </c>
      <c r="C1" t="s">
        <v>108</v>
      </c>
    </row>
    <row r="2" spans="1:7" x14ac:dyDescent="0.3">
      <c r="A2" t="s">
        <v>56</v>
      </c>
      <c r="B2" s="11">
        <v>45319</v>
      </c>
    </row>
    <row r="3" spans="1:7" x14ac:dyDescent="0.3">
      <c r="A3" t="s">
        <v>57</v>
      </c>
      <c r="B3" s="11">
        <v>45883</v>
      </c>
    </row>
    <row r="4" spans="1:7" x14ac:dyDescent="0.3">
      <c r="A4" t="s">
        <v>58</v>
      </c>
      <c r="B4" s="11">
        <v>45796</v>
      </c>
    </row>
    <row r="5" spans="1:7" x14ac:dyDescent="0.3">
      <c r="A5" t="s">
        <v>59</v>
      </c>
      <c r="B5" s="11">
        <v>46010</v>
      </c>
      <c r="G5" s="11">
        <v>45291</v>
      </c>
    </row>
    <row r="6" spans="1:7" x14ac:dyDescent="0.3">
      <c r="A6" t="s">
        <v>60</v>
      </c>
      <c r="B6" s="11">
        <v>45467</v>
      </c>
      <c r="G6" s="11">
        <v>46022</v>
      </c>
    </row>
    <row r="7" spans="1:7" x14ac:dyDescent="0.3">
      <c r="A7" t="s">
        <v>61</v>
      </c>
      <c r="B7" s="11">
        <v>45920</v>
      </c>
    </row>
    <row r="8" spans="1:7" x14ac:dyDescent="0.3">
      <c r="A8" t="s">
        <v>62</v>
      </c>
      <c r="B8" s="11">
        <v>45608</v>
      </c>
    </row>
    <row r="9" spans="1:7" x14ac:dyDescent="0.3">
      <c r="A9" t="s">
        <v>63</v>
      </c>
      <c r="B9" s="11">
        <v>45813</v>
      </c>
    </row>
    <row r="10" spans="1:7" x14ac:dyDescent="0.3">
      <c r="A10" t="s">
        <v>64</v>
      </c>
      <c r="B10" s="11">
        <v>45715</v>
      </c>
    </row>
    <row r="11" spans="1:7" x14ac:dyDescent="0.3">
      <c r="A11" t="s">
        <v>65</v>
      </c>
      <c r="B11" s="11">
        <v>45667</v>
      </c>
    </row>
    <row r="12" spans="1:7" x14ac:dyDescent="0.3">
      <c r="A12" t="s">
        <v>66</v>
      </c>
      <c r="B12" s="11">
        <v>45827</v>
      </c>
    </row>
    <row r="13" spans="1:7" x14ac:dyDescent="0.3">
      <c r="A13" t="s">
        <v>67</v>
      </c>
      <c r="B13" s="11">
        <v>46017</v>
      </c>
    </row>
    <row r="14" spans="1:7" x14ac:dyDescent="0.3">
      <c r="A14" t="s">
        <v>68</v>
      </c>
      <c r="B14" s="11">
        <v>45364</v>
      </c>
    </row>
    <row r="15" spans="1:7" x14ac:dyDescent="0.3">
      <c r="A15" t="s">
        <v>69</v>
      </c>
      <c r="B15" s="11">
        <v>45925</v>
      </c>
    </row>
    <row r="16" spans="1:7" x14ac:dyDescent="0.3">
      <c r="A16" t="s">
        <v>70</v>
      </c>
      <c r="B16" s="11">
        <v>45873</v>
      </c>
    </row>
    <row r="17" spans="1:2" x14ac:dyDescent="0.3">
      <c r="A17" t="s">
        <v>71</v>
      </c>
      <c r="B17" s="11">
        <v>45959</v>
      </c>
    </row>
    <row r="18" spans="1:2" x14ac:dyDescent="0.3">
      <c r="A18" t="s">
        <v>72</v>
      </c>
      <c r="B18" s="11">
        <v>45443</v>
      </c>
    </row>
    <row r="19" spans="1:2" x14ac:dyDescent="0.3">
      <c r="A19" t="s">
        <v>73</v>
      </c>
      <c r="B19" s="11">
        <v>45422</v>
      </c>
    </row>
    <row r="20" spans="1:2" x14ac:dyDescent="0.3">
      <c r="A20" t="s">
        <v>74</v>
      </c>
      <c r="B20" s="11">
        <v>45819</v>
      </c>
    </row>
    <row r="21" spans="1:2" x14ac:dyDescent="0.3">
      <c r="A21" t="s">
        <v>75</v>
      </c>
      <c r="B21" s="11">
        <v>45914</v>
      </c>
    </row>
    <row r="22" spans="1:2" x14ac:dyDescent="0.3">
      <c r="A22" t="s">
        <v>76</v>
      </c>
      <c r="B22" s="11">
        <v>45574</v>
      </c>
    </row>
    <row r="23" spans="1:2" x14ac:dyDescent="0.3">
      <c r="A23" t="s">
        <v>77</v>
      </c>
      <c r="B23" s="11">
        <v>45740</v>
      </c>
    </row>
    <row r="24" spans="1:2" x14ac:dyDescent="0.3">
      <c r="A24" t="s">
        <v>78</v>
      </c>
      <c r="B24" s="11">
        <v>45419</v>
      </c>
    </row>
    <row r="25" spans="1:2" x14ac:dyDescent="0.3">
      <c r="A25" t="s">
        <v>79</v>
      </c>
      <c r="B25" s="11">
        <v>45608</v>
      </c>
    </row>
    <row r="26" spans="1:2" x14ac:dyDescent="0.3">
      <c r="A26" t="s">
        <v>80</v>
      </c>
      <c r="B26" s="11">
        <v>45697</v>
      </c>
    </row>
    <row r="27" spans="1:2" x14ac:dyDescent="0.3">
      <c r="A27" t="s">
        <v>113</v>
      </c>
      <c r="B27" s="11">
        <v>45478</v>
      </c>
    </row>
    <row r="28" spans="1:2" x14ac:dyDescent="0.3">
      <c r="A28" t="s">
        <v>109</v>
      </c>
      <c r="B28" s="11">
        <v>45823</v>
      </c>
    </row>
    <row r="29" spans="1:2" x14ac:dyDescent="0.3">
      <c r="A29" t="s">
        <v>110</v>
      </c>
      <c r="B29" s="11">
        <v>45987</v>
      </c>
    </row>
    <row r="30" spans="1:2" x14ac:dyDescent="0.3">
      <c r="A30" t="s">
        <v>111</v>
      </c>
      <c r="B30" s="11">
        <v>45802</v>
      </c>
    </row>
    <row r="31" spans="1:2" x14ac:dyDescent="0.3">
      <c r="A31" t="s">
        <v>112</v>
      </c>
      <c r="B31" s="11">
        <v>45943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EB4DE-B99B-4CF3-8848-BEC1DEF9F64F}">
  <sheetPr codeName="Feuil8">
    <tabColor rgb="FF7030A0"/>
  </sheetPr>
  <dimension ref="A1:C31"/>
  <sheetViews>
    <sheetView topLeftCell="A10" workbookViewId="0">
      <selection sqref="A1:A1048576"/>
    </sheetView>
  </sheetViews>
  <sheetFormatPr baseColWidth="10" defaultRowHeight="14.4" x14ac:dyDescent="0.3"/>
  <cols>
    <col min="1" max="1" width="13" style="15" bestFit="1" customWidth="1"/>
    <col min="2" max="2" width="11.5546875" style="15"/>
    <col min="3" max="3" width="13.21875" bestFit="1" customWidth="1"/>
  </cols>
  <sheetData>
    <row r="1" spans="1:3" x14ac:dyDescent="0.3">
      <c r="A1" s="15" t="s">
        <v>106</v>
      </c>
      <c r="B1" s="15" t="s">
        <v>114</v>
      </c>
      <c r="C1" t="s">
        <v>115</v>
      </c>
    </row>
    <row r="2" spans="1:3" x14ac:dyDescent="0.3">
      <c r="A2" s="15" t="s">
        <v>56</v>
      </c>
      <c r="B2" s="15">
        <v>2</v>
      </c>
      <c r="C2" s="13" t="s">
        <v>118</v>
      </c>
    </row>
    <row r="3" spans="1:3" x14ac:dyDescent="0.3">
      <c r="A3" s="15" t="s">
        <v>57</v>
      </c>
      <c r="B3" s="15">
        <v>-35</v>
      </c>
      <c r="C3" s="12" t="s">
        <v>116</v>
      </c>
    </row>
    <row r="4" spans="1:3" x14ac:dyDescent="0.3">
      <c r="A4" s="15" t="s">
        <v>58</v>
      </c>
      <c r="B4" s="15">
        <v>79</v>
      </c>
      <c r="C4" s="13" t="s">
        <v>118</v>
      </c>
    </row>
    <row r="5" spans="1:3" x14ac:dyDescent="0.3">
      <c r="A5" s="15" t="s">
        <v>59</v>
      </c>
      <c r="B5" s="15">
        <v>80</v>
      </c>
      <c r="C5" s="13" t="s">
        <v>118</v>
      </c>
    </row>
    <row r="6" spans="1:3" x14ac:dyDescent="0.3">
      <c r="A6" s="15" t="s">
        <v>60</v>
      </c>
      <c r="B6" s="15">
        <v>9</v>
      </c>
      <c r="C6" s="13" t="s">
        <v>118</v>
      </c>
    </row>
    <row r="7" spans="1:3" x14ac:dyDescent="0.3">
      <c r="A7" s="15" t="s">
        <v>61</v>
      </c>
      <c r="B7" s="15">
        <v>-16</v>
      </c>
      <c r="C7" s="12" t="s">
        <v>116</v>
      </c>
    </row>
    <row r="8" spans="1:3" x14ac:dyDescent="0.3">
      <c r="A8" s="15" t="s">
        <v>62</v>
      </c>
      <c r="B8" s="15">
        <v>14</v>
      </c>
      <c r="C8" s="13" t="s">
        <v>118</v>
      </c>
    </row>
    <row r="9" spans="1:3" x14ac:dyDescent="0.3">
      <c r="A9" s="15" t="s">
        <v>63</v>
      </c>
      <c r="B9" s="15">
        <v>-32</v>
      </c>
      <c r="C9" s="12" t="s">
        <v>116</v>
      </c>
    </row>
    <row r="10" spans="1:3" x14ac:dyDescent="0.3">
      <c r="A10" s="15" t="s">
        <v>64</v>
      </c>
      <c r="B10" s="15">
        <v>69</v>
      </c>
      <c r="C10" s="13" t="s">
        <v>118</v>
      </c>
    </row>
    <row r="11" spans="1:3" x14ac:dyDescent="0.3">
      <c r="A11" s="15" t="s">
        <v>65</v>
      </c>
      <c r="B11" s="15">
        <v>-69</v>
      </c>
      <c r="C11" s="12" t="s">
        <v>116</v>
      </c>
    </row>
    <row r="12" spans="1:3" x14ac:dyDescent="0.3">
      <c r="A12" s="15" t="s">
        <v>66</v>
      </c>
      <c r="B12" s="15">
        <v>44</v>
      </c>
      <c r="C12" s="13" t="s">
        <v>118</v>
      </c>
    </row>
    <row r="13" spans="1:3" x14ac:dyDescent="0.3">
      <c r="A13" s="15" t="s">
        <v>67</v>
      </c>
      <c r="B13" s="15">
        <v>0</v>
      </c>
      <c r="C13" s="14" t="s">
        <v>117</v>
      </c>
    </row>
    <row r="14" spans="1:3" x14ac:dyDescent="0.3">
      <c r="A14" s="15" t="s">
        <v>68</v>
      </c>
      <c r="B14" s="15">
        <v>-81</v>
      </c>
      <c r="C14" s="12" t="s">
        <v>116</v>
      </c>
    </row>
    <row r="15" spans="1:3" x14ac:dyDescent="0.3">
      <c r="A15" s="15" t="s">
        <v>69</v>
      </c>
      <c r="B15" s="15">
        <v>58</v>
      </c>
      <c r="C15" s="13" t="s">
        <v>118</v>
      </c>
    </row>
    <row r="16" spans="1:3" x14ac:dyDescent="0.3">
      <c r="A16" s="15" t="s">
        <v>70</v>
      </c>
      <c r="B16" s="15">
        <v>-57</v>
      </c>
      <c r="C16" s="12" t="s">
        <v>116</v>
      </c>
    </row>
    <row r="17" spans="1:3" x14ac:dyDescent="0.3">
      <c r="A17" s="15" t="s">
        <v>71</v>
      </c>
      <c r="B17" s="15">
        <v>-28</v>
      </c>
      <c r="C17" s="12" t="s">
        <v>116</v>
      </c>
    </row>
    <row r="18" spans="1:3" x14ac:dyDescent="0.3">
      <c r="A18" s="15" t="s">
        <v>72</v>
      </c>
      <c r="B18" s="15">
        <v>63</v>
      </c>
      <c r="C18" s="13" t="s">
        <v>118</v>
      </c>
    </row>
    <row r="19" spans="1:3" x14ac:dyDescent="0.3">
      <c r="A19" s="15" t="s">
        <v>73</v>
      </c>
      <c r="B19" s="15">
        <v>-18</v>
      </c>
      <c r="C19" s="12" t="s">
        <v>116</v>
      </c>
    </row>
    <row r="20" spans="1:3" x14ac:dyDescent="0.3">
      <c r="A20" s="15" t="s">
        <v>74</v>
      </c>
      <c r="B20" s="15">
        <v>99</v>
      </c>
      <c r="C20" s="13" t="s">
        <v>118</v>
      </c>
    </row>
    <row r="21" spans="1:3" x14ac:dyDescent="0.3">
      <c r="A21" s="15" t="s">
        <v>75</v>
      </c>
      <c r="B21" s="15">
        <v>-32</v>
      </c>
      <c r="C21" s="12" t="s">
        <v>116</v>
      </c>
    </row>
    <row r="22" spans="1:3" x14ac:dyDescent="0.3">
      <c r="A22" s="15" t="s">
        <v>76</v>
      </c>
      <c r="B22" s="15">
        <v>81</v>
      </c>
      <c r="C22" s="13" t="s">
        <v>118</v>
      </c>
    </row>
    <row r="23" spans="1:3" x14ac:dyDescent="0.3">
      <c r="A23" s="15" t="s">
        <v>77</v>
      </c>
      <c r="B23" s="15">
        <v>-33</v>
      </c>
      <c r="C23" s="12" t="s">
        <v>116</v>
      </c>
    </row>
    <row r="24" spans="1:3" x14ac:dyDescent="0.3">
      <c r="A24" s="15" t="s">
        <v>78</v>
      </c>
      <c r="B24" s="15">
        <v>-86</v>
      </c>
      <c r="C24" s="12" t="s">
        <v>116</v>
      </c>
    </row>
    <row r="25" spans="1:3" x14ac:dyDescent="0.3">
      <c r="A25" s="15" t="s">
        <v>79</v>
      </c>
      <c r="B25" s="15">
        <v>11</v>
      </c>
      <c r="C25" s="13" t="s">
        <v>118</v>
      </c>
    </row>
    <row r="26" spans="1:3" x14ac:dyDescent="0.3">
      <c r="A26" s="15" t="s">
        <v>80</v>
      </c>
      <c r="B26" s="15">
        <v>-74</v>
      </c>
      <c r="C26" s="12" t="s">
        <v>116</v>
      </c>
    </row>
    <row r="27" spans="1:3" x14ac:dyDescent="0.3">
      <c r="A27" s="15" t="s">
        <v>113</v>
      </c>
      <c r="B27" s="15">
        <v>3</v>
      </c>
      <c r="C27" s="13" t="s">
        <v>118</v>
      </c>
    </row>
    <row r="28" spans="1:3" x14ac:dyDescent="0.3">
      <c r="A28" s="15" t="s">
        <v>109</v>
      </c>
      <c r="B28" s="15">
        <v>-76</v>
      </c>
      <c r="C28" s="12" t="s">
        <v>116</v>
      </c>
    </row>
    <row r="29" spans="1:3" x14ac:dyDescent="0.3">
      <c r="A29" s="15" t="s">
        <v>110</v>
      </c>
      <c r="B29" s="15">
        <v>35</v>
      </c>
      <c r="C29" s="13" t="s">
        <v>118</v>
      </c>
    </row>
    <row r="30" spans="1:3" x14ac:dyDescent="0.3">
      <c r="A30" s="15" t="s">
        <v>111</v>
      </c>
      <c r="B30" s="15">
        <v>-9</v>
      </c>
      <c r="C30" s="12" t="s">
        <v>116</v>
      </c>
    </row>
    <row r="31" spans="1:3" x14ac:dyDescent="0.3">
      <c r="A31" s="15" t="s">
        <v>112</v>
      </c>
      <c r="B31" s="15">
        <v>-58</v>
      </c>
      <c r="C31" s="12" t="s">
        <v>116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Feuil1</vt:lpstr>
      <vt:lpstr>Feuil2</vt:lpstr>
      <vt:lpstr>FORMULE</vt:lpstr>
      <vt:lpstr>NOTES AGENCE</vt:lpstr>
      <vt:lpstr>EXEMPLE</vt:lpstr>
      <vt:lpstr>EXO_2</vt:lpstr>
      <vt:lpstr>EXO_3</vt:lpstr>
      <vt:lpstr>UNTIL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Kachaou Issa</dc:creator>
  <cp:lastModifiedBy>Kachaou Issa</cp:lastModifiedBy>
  <dcterms:created xsi:type="dcterms:W3CDTF">2024-10-19T09:21:00Z</dcterms:created>
  <dcterms:modified xsi:type="dcterms:W3CDTF">2024-11-30T10:58:56Z</dcterms:modified>
</cp:coreProperties>
</file>